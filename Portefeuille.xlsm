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2016d712f36e9f63/Documents/Projet Mina/"/>
    </mc:Choice>
  </mc:AlternateContent>
  <xr:revisionPtr revIDLastSave="475" documentId="8_{B7C035F0-9036-4E96-B63F-853EE97EACD9}" xr6:coauthVersionLast="47" xr6:coauthVersionMax="47" xr10:uidLastSave="{371BAA2D-A4ED-48F5-BAC6-05F7786D9D17}"/>
  <bookViews>
    <workbookView xWindow="10718" yWindow="0" windowWidth="10965" windowHeight="12233" activeTab="1" xr2:uid="{25DD2C32-21B3-4386-9A99-BBCA726B64E3}"/>
  </bookViews>
  <sheets>
    <sheet name="Macro1" sheetId="1" r:id="rId1"/>
    <sheet name="Feuil1" sheetId="2" r:id="rId2"/>
  </sheets>
  <functionGroups builtInGroupCount="19"/>
  <definedNames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0" i="2" l="1"/>
  <c r="I28" i="2" s="1"/>
  <c r="H28" i="2"/>
  <c r="G28" i="2"/>
  <c r="I27" i="2"/>
  <c r="H27" i="2"/>
  <c r="G27" i="2"/>
  <c r="I26" i="2"/>
  <c r="H26" i="2"/>
  <c r="G26" i="2"/>
  <c r="I25" i="2"/>
  <c r="H25" i="2"/>
  <c r="G25" i="2"/>
  <c r="I24" i="2"/>
  <c r="H24" i="2"/>
  <c r="G24" i="2"/>
  <c r="I23" i="2"/>
  <c r="H23" i="2"/>
  <c r="G23" i="2"/>
  <c r="I22" i="2"/>
  <c r="H22" i="2"/>
  <c r="G22" i="2"/>
  <c r="I21" i="2"/>
  <c r="H21" i="2"/>
  <c r="G21" i="2"/>
  <c r="I20" i="2"/>
  <c r="H20" i="2"/>
  <c r="G20" i="2"/>
  <c r="I19" i="2"/>
  <c r="H19" i="2"/>
  <c r="G19" i="2"/>
  <c r="I18" i="2"/>
  <c r="H18" i="2"/>
  <c r="G18" i="2"/>
  <c r="I17" i="2"/>
  <c r="H17" i="2"/>
  <c r="G17" i="2"/>
  <c r="I16" i="2"/>
  <c r="H16" i="2"/>
  <c r="G16" i="2"/>
  <c r="I15" i="2"/>
  <c r="H15" i="2"/>
  <c r="G15" i="2"/>
  <c r="I14" i="2"/>
  <c r="H14" i="2"/>
  <c r="G14" i="2"/>
  <c r="I13" i="2"/>
  <c r="H13" i="2"/>
  <c r="G13" i="2"/>
  <c r="I12" i="2"/>
  <c r="H12" i="2"/>
  <c r="G12" i="2"/>
  <c r="I11" i="2"/>
  <c r="H11" i="2"/>
  <c r="G11" i="2"/>
  <c r="I10" i="2"/>
  <c r="H10" i="2"/>
  <c r="G10" i="2"/>
  <c r="I9" i="2"/>
  <c r="H9" i="2"/>
  <c r="G9" i="2"/>
  <c r="I8" i="2"/>
  <c r="H8" i="2"/>
  <c r="G8" i="2"/>
  <c r="I7" i="2"/>
  <c r="H7" i="2"/>
  <c r="G7" i="2"/>
  <c r="I6" i="2"/>
  <c r="H6" i="2"/>
  <c r="G6" i="2"/>
</calcChain>
</file>

<file path=xl/sharedStrings.xml><?xml version="1.0" encoding="utf-8"?>
<sst xmlns="http://schemas.openxmlformats.org/spreadsheetml/2006/main" count="80" uniqueCount="58">
  <si>
    <t xml:space="preserve">Nom Actif </t>
  </si>
  <si>
    <t>Symbole</t>
  </si>
  <si>
    <t>Quantité détenue</t>
  </si>
  <si>
    <t>Prix Actuel (€)</t>
  </si>
  <si>
    <t>Prix d'achat (€)</t>
  </si>
  <si>
    <t>Valeur Actuelle (€)</t>
  </si>
  <si>
    <t>Valeur d'achat (€)</t>
  </si>
  <si>
    <t>Poids (%)</t>
  </si>
  <si>
    <t>Variation</t>
  </si>
  <si>
    <t>Performance cumulée</t>
  </si>
  <si>
    <t xml:space="preserve">LVMH </t>
  </si>
  <si>
    <t>MC.PA</t>
  </si>
  <si>
    <t>HERMES</t>
  </si>
  <si>
    <t>RMS.PA</t>
  </si>
  <si>
    <t>L'ORÉAL</t>
  </si>
  <si>
    <t>OR.PA</t>
  </si>
  <si>
    <t>TotalEnergies</t>
  </si>
  <si>
    <t>TTE.PA</t>
  </si>
  <si>
    <t>Airbus</t>
  </si>
  <si>
    <t>AIR.PA</t>
  </si>
  <si>
    <t>SCHNEIDER ELECTRIC</t>
  </si>
  <si>
    <t>SU.PA</t>
  </si>
  <si>
    <t>SANOFI</t>
  </si>
  <si>
    <t>SAN.PA</t>
  </si>
  <si>
    <t>SAFRAN</t>
  </si>
  <si>
    <t>SAF.PA</t>
  </si>
  <si>
    <t>AXA</t>
  </si>
  <si>
    <t>CS.PA</t>
  </si>
  <si>
    <t>BNP PARIBAS</t>
  </si>
  <si>
    <t>BNP.PA</t>
  </si>
  <si>
    <t>VINCI</t>
  </si>
  <si>
    <t>DG.PA</t>
  </si>
  <si>
    <t>DASSAULT SYSTEMES</t>
  </si>
  <si>
    <t>DSY.PA</t>
  </si>
  <si>
    <t>CREDIT AGRICOLE</t>
  </si>
  <si>
    <t>ACA.PA</t>
  </si>
  <si>
    <t>DANONE</t>
  </si>
  <si>
    <t>BN.PA</t>
  </si>
  <si>
    <t>KERING</t>
  </si>
  <si>
    <t>KER.PA</t>
  </si>
  <si>
    <t>ENGIE</t>
  </si>
  <si>
    <t>ENGI.PA</t>
  </si>
  <si>
    <t>SOCIETE GENERALE</t>
  </si>
  <si>
    <t>GLE.PA</t>
  </si>
  <si>
    <t>RENAULT</t>
  </si>
  <si>
    <t>RNO.PA</t>
  </si>
  <si>
    <t>JACQUET METALS</t>
  </si>
  <si>
    <t>JCQ.PA</t>
  </si>
  <si>
    <t>THALES</t>
  </si>
  <si>
    <t>HO.PA</t>
  </si>
  <si>
    <t>ORANGE</t>
  </si>
  <si>
    <t>ORA.PA</t>
  </si>
  <si>
    <t>CARREFOUR</t>
  </si>
  <si>
    <t>CA.PA</t>
  </si>
  <si>
    <t xml:space="preserve">ALSTOM </t>
  </si>
  <si>
    <t>ALO.PA</t>
  </si>
  <si>
    <t>Somme de la quantité
 détenue</t>
  </si>
  <si>
    <t>Erreur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</si>
</sst>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rgb="FF000000"/>
      <name val="Aptos Narrow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wrapText="1"/>
    </xf>
  </cellXfs>
  <cellStyles count="1">
    <cellStyle name="Normal" xfId="0" builtinId="0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104775</xdr:colOff>
          <xdr:row>1</xdr:row>
          <xdr:rowOff>19050</xdr:rowOff>
        </xdr:from>
        <xdr:to>
          <xdr:col>6</xdr:col>
          <xdr:colOff>1243013</xdr:colOff>
          <xdr:row>3</xdr:row>
          <xdr:rowOff>71438</xdr:rowOff>
        </xdr:to>
        <xdr:sp macro="" textlink="">
          <xdr:nvSpPr>
            <xdr:cNvPr id="1027" name="Testt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?? Mettre à jour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490537</xdr:colOff>
      <xdr:row>0</xdr:row>
      <xdr:rowOff>114302</xdr:rowOff>
    </xdr:from>
    <xdr:to>
      <xdr:col>1</xdr:col>
      <xdr:colOff>1295398</xdr:colOff>
      <xdr:row>3</xdr:row>
      <xdr:rowOff>85726</xdr:rowOff>
    </xdr:to>
    <xdr:sp macro="[0]!ObtenirPrixEOD" textlink="">
      <xdr:nvSpPr>
        <xdr:cNvPr id="2" name="Cœur 1">
          <a:extLst>
            <a:ext uri="{FF2B5EF4-FFF2-40B4-BE49-F238E27FC236}">
              <a16:creationId xmlns:a16="http://schemas.microsoft.com/office/drawing/2014/main" id="{8992306D-5E6C-A01D-B0D8-06E55A9224BB}"/>
            </a:ext>
          </a:extLst>
        </xdr:cNvPr>
        <xdr:cNvSpPr/>
      </xdr:nvSpPr>
      <xdr:spPr>
        <a:xfrm>
          <a:off x="1028700" y="114302"/>
          <a:ext cx="804861" cy="747712"/>
        </a:xfrm>
        <a:prstGeom prst="hear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 b="1"/>
            <a:t>EODH</a:t>
          </a:r>
        </a:p>
      </xdr:txBody>
    </xdr:sp>
    <xdr:clientData/>
  </xdr:twoCellAnchor>
  <xdr:twoCellAnchor>
    <xdr:from>
      <xdr:col>1</xdr:col>
      <xdr:colOff>1952625</xdr:colOff>
      <xdr:row>0</xdr:row>
      <xdr:rowOff>200025</xdr:rowOff>
    </xdr:from>
    <xdr:to>
      <xdr:col>2</xdr:col>
      <xdr:colOff>795337</xdr:colOff>
      <xdr:row>2</xdr:row>
      <xdr:rowOff>80962</xdr:rowOff>
    </xdr:to>
    <xdr:sp macro="[0]!ObtenirPrixAlphaVantage" textlink="">
      <xdr:nvSpPr>
        <xdr:cNvPr id="5" name="Rectangle : coins arrondis 4">
          <a:extLst>
            <a:ext uri="{FF2B5EF4-FFF2-40B4-BE49-F238E27FC236}">
              <a16:creationId xmlns:a16="http://schemas.microsoft.com/office/drawing/2014/main" id="{1B58C2CA-19F8-1A5B-659E-67372F33F30C}"/>
            </a:ext>
          </a:extLst>
        </xdr:cNvPr>
        <xdr:cNvSpPr/>
      </xdr:nvSpPr>
      <xdr:spPr>
        <a:xfrm>
          <a:off x="2490788" y="200025"/>
          <a:ext cx="1690687" cy="40957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300" b="1"/>
            <a:t>Alpha Vantage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CACD9D5-6C31-48FF-B530-0AA8894086B8}" name="Tableau2" displayName="Tableau2" ref="B5:K28" totalsRowShown="0">
  <autoFilter ref="B5:K28" xr:uid="{9C1CF065-6B8B-442E-AD2C-CBB214B3AF7C}"/>
  <tableColumns count="10">
    <tableColumn id="1" xr3:uid="{82E2B1CF-1E2B-4F4F-9D5F-40BC61B2E811}" name="Nom Actif "/>
    <tableColumn id="2" xr3:uid="{96B48364-DF0F-4AD4-8A2B-A0890951B671}" name="Symbole"/>
    <tableColumn id="3" xr3:uid="{7ED81512-AE53-41C3-BA4C-018EEB3D3C87}" name="Quantité détenue"/>
    <tableColumn id="4" xr3:uid="{D462CA8B-C7C0-4410-9D1B-6C26177760FC}" name="Prix Actuel (€)"/>
    <tableColumn id="5" xr3:uid="{B9A0C9CB-E3C4-4FAE-9854-9AF8D3D553E5}" name="Prix d'achat (€)"/>
    <tableColumn id="6" xr3:uid="{AB13A756-B4EA-454D-BF3E-9F9AF5D84540}" name="Valeur Actuelle (€)"/>
    <tableColumn id="7" xr3:uid="{6004B4C9-8B5E-4EB7-8263-648EB0952F42}" name="Valeur d'achat (€)"/>
    <tableColumn id="8" xr3:uid="{04FE5E39-CB75-426A-9F39-16E45C84A39B}" name="Poids (%)"/>
    <tableColumn id="9" xr3:uid="{7647DEF0-B71B-4E54-983C-31AAB508C510}" name="Variation"/>
    <tableColumn id="10" xr3:uid="{60F7EA18-B9FA-498B-81B6-3B396B24940C}" name="Performance cumulée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15A09C-37BD-4FAC-9575-283F48E46A31}">
  <sheetPr codeName="Feuil1"/>
  <dimension ref="A1"/>
  <sheetViews>
    <sheetView workbookViewId="0"/>
  </sheetViews>
  <sheetFormatPr baseColWidth="10" defaultRowHeight="14.25" x14ac:dyDescent="0.45"/>
  <cols>
    <col min="1" max="1" width="10.6640625" customWidth="1"/>
  </cols>
  <sheetData/>
  <pageMargins left="0.70000000000000007" right="0.70000000000000007" top="0.75" bottom="0.75" header="0.30000000000000004" footer="0.30000000000000004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690DD9-D90E-486F-80C9-1A23CA35B566}">
  <sheetPr codeName="Feuil2"/>
  <dimension ref="B1:K30"/>
  <sheetViews>
    <sheetView tabSelected="1" workbookViewId="0">
      <selection activeCell="F1" sqref="F1"/>
    </sheetView>
  </sheetViews>
  <sheetFormatPr baseColWidth="10" defaultRowHeight="14.25" x14ac:dyDescent="0.45"/>
  <cols>
    <col min="1" max="1" width="7.53125" customWidth="1"/>
    <col min="2" max="2" width="39.86328125" customWidth="1"/>
    <col min="3" max="3" width="22.33203125" customWidth="1"/>
    <col min="4" max="4" width="22.53125" customWidth="1"/>
    <col min="5" max="5" width="21" customWidth="1"/>
    <col min="6" max="6" width="17" customWidth="1"/>
    <col min="7" max="7" width="19.73046875" customWidth="1"/>
    <col min="8" max="8" width="18.73046875" customWidth="1"/>
    <col min="9" max="9" width="17.265625" customWidth="1"/>
    <col min="10" max="10" width="23.9296875" customWidth="1"/>
    <col min="11" max="11" width="23.33203125" customWidth="1"/>
    <col min="12" max="12" width="10.6640625" customWidth="1"/>
  </cols>
  <sheetData>
    <row r="1" spans="2:11" ht="19.149999999999999" customHeight="1" x14ac:dyDescent="0.45"/>
    <row r="2" spans="2:11" ht="22.5" customHeight="1" x14ac:dyDescent="0.45"/>
    <row r="3" spans="2:11" ht="19.5" customHeight="1" x14ac:dyDescent="0.45"/>
    <row r="5" spans="2:11" x14ac:dyDescent="0.45">
      <c r="B5" t="s">
        <v>0</v>
      </c>
      <c r="C5" t="s">
        <v>1</v>
      </c>
      <c r="D5" t="s">
        <v>2</v>
      </c>
      <c r="E5" t="s">
        <v>3</v>
      </c>
      <c r="F5" t="s">
        <v>4</v>
      </c>
      <c r="G5" t="s">
        <v>5</v>
      </c>
      <c r="H5" t="s">
        <v>6</v>
      </c>
      <c r="I5" t="s">
        <v>7</v>
      </c>
      <c r="J5" t="s">
        <v>8</v>
      </c>
      <c r="K5" t="s">
        <v>9</v>
      </c>
    </row>
    <row r="6" spans="2:11" x14ac:dyDescent="0.45">
      <c r="B6" t="s">
        <v>10</v>
      </c>
      <c r="C6" t="s">
        <v>11</v>
      </c>
      <c r="D6">
        <v>10</v>
      </c>
      <c r="E6">
        <v>498.4</v>
      </c>
      <c r="F6">
        <v>700</v>
      </c>
      <c r="G6">
        <f t="shared" ref="G6:G28" si="0">E6*D6</f>
        <v>4984</v>
      </c>
      <c r="H6">
        <f t="shared" ref="H6:H28" si="1">D6*F6</f>
        <v>7000</v>
      </c>
      <c r="I6">
        <f t="shared" ref="I6:I28" si="2">100*D6/$D$30</f>
        <v>1.2658227848101267</v>
      </c>
      <c r="J6" t="s">
        <v>57</v>
      </c>
    </row>
    <row r="7" spans="2:11" x14ac:dyDescent="0.45">
      <c r="B7" t="s">
        <v>12</v>
      </c>
      <c r="C7" t="s">
        <v>13</v>
      </c>
      <c r="D7">
        <v>5</v>
      </c>
      <c r="E7">
        <v>2222</v>
      </c>
      <c r="F7">
        <v>1900</v>
      </c>
      <c r="G7">
        <f t="shared" si="0"/>
        <v>11110</v>
      </c>
      <c r="H7">
        <f t="shared" si="1"/>
        <v>9500</v>
      </c>
      <c r="I7">
        <f t="shared" si="2"/>
        <v>0.63291139240506333</v>
      </c>
      <c r="J7" t="s">
        <v>57</v>
      </c>
    </row>
    <row r="8" spans="2:11" x14ac:dyDescent="0.45">
      <c r="B8" t="s">
        <v>14</v>
      </c>
      <c r="C8" t="s">
        <v>15</v>
      </c>
      <c r="D8">
        <v>50</v>
      </c>
      <c r="E8">
        <v>335.6</v>
      </c>
      <c r="F8">
        <v>350</v>
      </c>
      <c r="G8">
        <f t="shared" si="0"/>
        <v>16780</v>
      </c>
      <c r="H8">
        <f t="shared" si="1"/>
        <v>17500</v>
      </c>
      <c r="I8">
        <f t="shared" si="2"/>
        <v>6.3291139240506329</v>
      </c>
      <c r="J8" t="s">
        <v>57</v>
      </c>
    </row>
    <row r="9" spans="2:11" x14ac:dyDescent="0.45">
      <c r="B9" t="s">
        <v>16</v>
      </c>
      <c r="C9" t="s">
        <v>17</v>
      </c>
      <c r="D9">
        <v>20</v>
      </c>
      <c r="E9">
        <v>48.255000000000003</v>
      </c>
      <c r="F9">
        <v>50</v>
      </c>
      <c r="G9">
        <f t="shared" si="0"/>
        <v>965.1</v>
      </c>
      <c r="H9">
        <f t="shared" si="1"/>
        <v>1000</v>
      </c>
      <c r="I9">
        <f t="shared" si="2"/>
        <v>2.5316455696202533</v>
      </c>
      <c r="J9" t="s">
        <v>57</v>
      </c>
    </row>
    <row r="10" spans="2:11" x14ac:dyDescent="0.45">
      <c r="B10" t="s">
        <v>18</v>
      </c>
      <c r="C10" t="s">
        <v>19</v>
      </c>
      <c r="D10">
        <v>200</v>
      </c>
      <c r="E10">
        <v>133.47999999999999</v>
      </c>
      <c r="F10">
        <v>150</v>
      </c>
      <c r="G10">
        <f t="shared" si="0"/>
        <v>26695.999999999996</v>
      </c>
      <c r="H10">
        <f t="shared" si="1"/>
        <v>30000</v>
      </c>
      <c r="I10">
        <f t="shared" si="2"/>
        <v>25.316455696202532</v>
      </c>
      <c r="J10" t="s">
        <v>57</v>
      </c>
    </row>
    <row r="11" spans="2:11" x14ac:dyDescent="0.45">
      <c r="B11" t="s">
        <v>20</v>
      </c>
      <c r="C11" t="s">
        <v>21</v>
      </c>
      <c r="D11">
        <v>20</v>
      </c>
      <c r="E11">
        <v>187.42</v>
      </c>
      <c r="F11">
        <v>200</v>
      </c>
      <c r="G11">
        <f t="shared" si="0"/>
        <v>3748.3999999999996</v>
      </c>
      <c r="H11">
        <f t="shared" si="1"/>
        <v>4000</v>
      </c>
      <c r="I11">
        <f t="shared" si="2"/>
        <v>2.5316455696202533</v>
      </c>
      <c r="J11" t="s">
        <v>57</v>
      </c>
    </row>
    <row r="12" spans="2:11" x14ac:dyDescent="0.45">
      <c r="B12" t="s">
        <v>22</v>
      </c>
      <c r="C12" t="s">
        <v>23</v>
      </c>
      <c r="D12">
        <v>30</v>
      </c>
      <c r="E12">
        <v>86.76</v>
      </c>
      <c r="F12">
        <v>100</v>
      </c>
      <c r="G12">
        <f t="shared" si="0"/>
        <v>2602.8000000000002</v>
      </c>
      <c r="H12">
        <f t="shared" si="1"/>
        <v>3000</v>
      </c>
      <c r="I12">
        <f t="shared" si="2"/>
        <v>3.7974683544303796</v>
      </c>
      <c r="J12" t="s">
        <v>57</v>
      </c>
    </row>
    <row r="13" spans="2:11" x14ac:dyDescent="0.45">
      <c r="B13" t="s">
        <v>24</v>
      </c>
      <c r="C13" t="s">
        <v>25</v>
      </c>
      <c r="D13">
        <v>45</v>
      </c>
      <c r="E13">
        <v>200.5</v>
      </c>
      <c r="F13">
        <v>220</v>
      </c>
      <c r="G13">
        <f t="shared" si="0"/>
        <v>9022.5</v>
      </c>
      <c r="H13">
        <f t="shared" si="1"/>
        <v>9900</v>
      </c>
      <c r="I13">
        <f t="shared" si="2"/>
        <v>5.6962025316455698</v>
      </c>
      <c r="J13" t="s">
        <v>57</v>
      </c>
    </row>
    <row r="14" spans="2:11" x14ac:dyDescent="0.45">
      <c r="B14" t="s">
        <v>26</v>
      </c>
      <c r="C14" t="s">
        <v>27</v>
      </c>
      <c r="D14">
        <v>10</v>
      </c>
      <c r="E14">
        <v>35.380000000000003</v>
      </c>
      <c r="F14">
        <v>25</v>
      </c>
      <c r="G14">
        <f t="shared" si="0"/>
        <v>353.8</v>
      </c>
      <c r="H14">
        <f t="shared" si="1"/>
        <v>250</v>
      </c>
      <c r="I14">
        <f t="shared" si="2"/>
        <v>1.2658227848101267</v>
      </c>
      <c r="J14" t="s">
        <v>57</v>
      </c>
    </row>
    <row r="15" spans="2:11" x14ac:dyDescent="0.45">
      <c r="B15" t="s">
        <v>28</v>
      </c>
      <c r="C15" t="s">
        <v>29</v>
      </c>
      <c r="D15">
        <v>10</v>
      </c>
      <c r="E15">
        <v>63.78</v>
      </c>
      <c r="F15">
        <v>70</v>
      </c>
      <c r="G15">
        <f t="shared" si="0"/>
        <v>637.79999999999995</v>
      </c>
      <c r="H15">
        <f t="shared" si="1"/>
        <v>700</v>
      </c>
      <c r="I15">
        <f t="shared" si="2"/>
        <v>1.2658227848101267</v>
      </c>
      <c r="J15" t="s">
        <v>57</v>
      </c>
    </row>
    <row r="16" spans="2:11" x14ac:dyDescent="0.45">
      <c r="B16" t="s">
        <v>30</v>
      </c>
      <c r="C16" t="s">
        <v>31</v>
      </c>
      <c r="D16">
        <v>30</v>
      </c>
      <c r="E16">
        <v>107.8</v>
      </c>
      <c r="F16">
        <v>100</v>
      </c>
      <c r="G16">
        <f t="shared" si="0"/>
        <v>3234</v>
      </c>
      <c r="H16">
        <f t="shared" si="1"/>
        <v>3000</v>
      </c>
      <c r="I16">
        <f t="shared" si="2"/>
        <v>3.7974683544303796</v>
      </c>
      <c r="J16" t="s">
        <v>57</v>
      </c>
    </row>
    <row r="17" spans="2:10" x14ac:dyDescent="0.45">
      <c r="B17" t="s">
        <v>32</v>
      </c>
      <c r="C17" t="s">
        <v>33</v>
      </c>
      <c r="D17">
        <v>40</v>
      </c>
      <c r="E17">
        <v>31.82</v>
      </c>
      <c r="F17">
        <v>15</v>
      </c>
      <c r="G17">
        <f t="shared" si="0"/>
        <v>1272.8</v>
      </c>
      <c r="H17">
        <f t="shared" si="1"/>
        <v>600</v>
      </c>
      <c r="I17">
        <f t="shared" si="2"/>
        <v>5.0632911392405067</v>
      </c>
      <c r="J17" t="s">
        <v>57</v>
      </c>
    </row>
    <row r="18" spans="2:10" x14ac:dyDescent="0.45">
      <c r="B18" t="s">
        <v>34</v>
      </c>
      <c r="C18" t="s">
        <v>35</v>
      </c>
      <c r="D18">
        <v>20</v>
      </c>
      <c r="E18">
        <v>14.975</v>
      </c>
      <c r="F18">
        <v>50</v>
      </c>
      <c r="G18">
        <f t="shared" si="0"/>
        <v>299.5</v>
      </c>
      <c r="H18">
        <f t="shared" si="1"/>
        <v>1000</v>
      </c>
      <c r="I18">
        <f t="shared" si="2"/>
        <v>2.5316455696202533</v>
      </c>
      <c r="J18" t="s">
        <v>57</v>
      </c>
    </row>
    <row r="19" spans="2:10" x14ac:dyDescent="0.45">
      <c r="B19" t="s">
        <v>36</v>
      </c>
      <c r="C19" t="s">
        <v>37</v>
      </c>
      <c r="D19">
        <v>60</v>
      </c>
      <c r="E19">
        <v>69.72</v>
      </c>
      <c r="F19">
        <v>70</v>
      </c>
      <c r="G19">
        <f t="shared" si="0"/>
        <v>4183.2</v>
      </c>
      <c r="H19">
        <f t="shared" si="1"/>
        <v>4200</v>
      </c>
      <c r="I19">
        <f t="shared" si="2"/>
        <v>7.5949367088607591</v>
      </c>
      <c r="J19" t="s">
        <v>57</v>
      </c>
    </row>
    <row r="20" spans="2:10" x14ac:dyDescent="0.45">
      <c r="B20" t="s">
        <v>38</v>
      </c>
      <c r="C20" t="s">
        <v>39</v>
      </c>
      <c r="D20">
        <v>50</v>
      </c>
      <c r="E20">
        <v>156.91999999999999</v>
      </c>
      <c r="F20">
        <v>130</v>
      </c>
      <c r="G20">
        <f t="shared" si="0"/>
        <v>7845.9999999999991</v>
      </c>
      <c r="H20">
        <f t="shared" si="1"/>
        <v>6500</v>
      </c>
      <c r="I20">
        <f t="shared" si="2"/>
        <v>6.3291139240506329</v>
      </c>
      <c r="J20" t="s">
        <v>57</v>
      </c>
    </row>
    <row r="21" spans="2:10" x14ac:dyDescent="0.45">
      <c r="B21" t="s">
        <v>40</v>
      </c>
      <c r="C21" t="s">
        <v>41</v>
      </c>
      <c r="D21">
        <v>10</v>
      </c>
      <c r="E21">
        <v>17.510000000000002</v>
      </c>
      <c r="F21">
        <v>20</v>
      </c>
      <c r="G21">
        <f t="shared" si="0"/>
        <v>175.10000000000002</v>
      </c>
      <c r="H21">
        <f t="shared" si="1"/>
        <v>200</v>
      </c>
      <c r="I21">
        <f t="shared" si="2"/>
        <v>1.2658227848101267</v>
      </c>
      <c r="J21" t="s">
        <v>57</v>
      </c>
    </row>
    <row r="22" spans="2:10" x14ac:dyDescent="0.45">
      <c r="B22" t="s">
        <v>42</v>
      </c>
      <c r="C22" t="s">
        <v>43</v>
      </c>
      <c r="D22">
        <v>15</v>
      </c>
      <c r="E22">
        <v>34.36</v>
      </c>
      <c r="F22">
        <v>40</v>
      </c>
      <c r="G22">
        <f t="shared" si="0"/>
        <v>515.4</v>
      </c>
      <c r="H22">
        <f t="shared" si="1"/>
        <v>600</v>
      </c>
      <c r="I22">
        <f t="shared" si="2"/>
        <v>1.8987341772151898</v>
      </c>
      <c r="J22" t="s">
        <v>57</v>
      </c>
    </row>
    <row r="23" spans="2:10" x14ac:dyDescent="0.45">
      <c r="B23" t="s">
        <v>44</v>
      </c>
      <c r="C23" t="s">
        <v>45</v>
      </c>
      <c r="D23">
        <v>25</v>
      </c>
      <c r="E23">
        <v>41.6</v>
      </c>
      <c r="F23">
        <v>40</v>
      </c>
      <c r="G23">
        <f t="shared" si="0"/>
        <v>1040</v>
      </c>
      <c r="H23">
        <f t="shared" si="1"/>
        <v>1000</v>
      </c>
      <c r="I23">
        <f t="shared" si="2"/>
        <v>3.1645569620253164</v>
      </c>
      <c r="J23" t="s">
        <v>57</v>
      </c>
    </row>
    <row r="24" spans="2:10" x14ac:dyDescent="0.45">
      <c r="B24" t="s">
        <v>46</v>
      </c>
      <c r="C24" t="s">
        <v>47</v>
      </c>
      <c r="D24">
        <v>5</v>
      </c>
      <c r="E24">
        <v>17.52</v>
      </c>
      <c r="F24">
        <v>20</v>
      </c>
      <c r="G24">
        <f t="shared" si="0"/>
        <v>87.6</v>
      </c>
      <c r="H24">
        <f t="shared" si="1"/>
        <v>100</v>
      </c>
      <c r="I24">
        <f t="shared" si="2"/>
        <v>0.63291139240506333</v>
      </c>
      <c r="J24" t="s">
        <v>57</v>
      </c>
    </row>
    <row r="25" spans="2:10" x14ac:dyDescent="0.45">
      <c r="B25" t="s">
        <v>48</v>
      </c>
      <c r="C25" t="s">
        <v>49</v>
      </c>
      <c r="D25">
        <v>30</v>
      </c>
      <c r="E25">
        <v>235.7</v>
      </c>
      <c r="F25">
        <v>200</v>
      </c>
      <c r="G25">
        <f t="shared" si="0"/>
        <v>7071</v>
      </c>
      <c r="H25">
        <f t="shared" si="1"/>
        <v>6000</v>
      </c>
      <c r="I25">
        <f t="shared" si="2"/>
        <v>3.7974683544303796</v>
      </c>
      <c r="J25" t="s">
        <v>57</v>
      </c>
    </row>
    <row r="26" spans="2:10" x14ac:dyDescent="0.45">
      <c r="B26" t="s">
        <v>50</v>
      </c>
      <c r="C26" t="s">
        <v>51</v>
      </c>
      <c r="D26">
        <v>60</v>
      </c>
      <c r="E26">
        <v>11.93</v>
      </c>
      <c r="F26">
        <v>15</v>
      </c>
      <c r="G26">
        <f t="shared" si="0"/>
        <v>715.8</v>
      </c>
      <c r="H26">
        <f t="shared" si="1"/>
        <v>900</v>
      </c>
      <c r="I26">
        <f t="shared" si="2"/>
        <v>7.5949367088607591</v>
      </c>
      <c r="J26" t="s">
        <v>57</v>
      </c>
    </row>
    <row r="27" spans="2:10" x14ac:dyDescent="0.45">
      <c r="B27" t="s">
        <v>52</v>
      </c>
      <c r="C27" t="s">
        <v>53</v>
      </c>
      <c r="D27">
        <v>20</v>
      </c>
      <c r="E27">
        <v>12.81</v>
      </c>
      <c r="F27">
        <v>25</v>
      </c>
      <c r="G27">
        <f t="shared" si="0"/>
        <v>256.2</v>
      </c>
      <c r="H27">
        <f t="shared" si="1"/>
        <v>500</v>
      </c>
      <c r="I27">
        <f t="shared" si="2"/>
        <v>2.5316455696202533</v>
      </c>
      <c r="J27" t="s">
        <v>57</v>
      </c>
    </row>
    <row r="28" spans="2:10" x14ac:dyDescent="0.45">
      <c r="B28" t="s">
        <v>54</v>
      </c>
      <c r="C28" t="s">
        <v>55</v>
      </c>
      <c r="D28">
        <v>25</v>
      </c>
      <c r="E28">
        <v>17.364999999999998</v>
      </c>
      <c r="F28">
        <v>25</v>
      </c>
      <c r="G28">
        <f t="shared" si="0"/>
        <v>434.12499999999994</v>
      </c>
      <c r="H28">
        <f t="shared" si="1"/>
        <v>625</v>
      </c>
      <c r="I28">
        <f t="shared" si="2"/>
        <v>3.1645569620253164</v>
      </c>
      <c r="J28" t="s">
        <v>57</v>
      </c>
    </row>
    <row r="30" spans="2:10" ht="28.5" x14ac:dyDescent="0.45">
      <c r="C30" s="1" t="s">
        <v>56</v>
      </c>
      <c r="D30">
        <f>SUM(D6:D29)</f>
        <v>790</v>
      </c>
    </row>
  </sheetData>
  <pageMargins left="0.70000000000000007" right="0.70000000000000007" top="0.75" bottom="0.75" header="0.30000000000000004" footer="0.30000000000000004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" name="Testt">
              <controlPr defaultSize="0" print="0" autoFill="0" autoPict="0" macro="[0]!TEst">
                <anchor moveWithCells="1" sizeWithCells="1">
                  <from>
                    <xdr:col>6</xdr:col>
                    <xdr:colOff>104775</xdr:colOff>
                    <xdr:row>1</xdr:row>
                    <xdr:rowOff>19050</xdr:rowOff>
                  </from>
                  <to>
                    <xdr:col>6</xdr:col>
                    <xdr:colOff>1243013</xdr:colOff>
                    <xdr:row>3</xdr:row>
                    <xdr:rowOff>71438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Macro1</vt:lpstr>
      <vt:lpstr>Feuil1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Théo Maad</dc:creator>
  <cp:lastModifiedBy>Théo Maad</cp:lastModifiedBy>
  <dcterms:created xsi:type="dcterms:W3CDTF">2025-04-07T21:44:00Z</dcterms:created>
  <dcterms:modified xsi:type="dcterms:W3CDTF">2025-04-09T22:21:06Z</dcterms:modified>
</cp:coreProperties>
</file>